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fb69f878d500d6/Desktop/"/>
    </mc:Choice>
  </mc:AlternateContent>
  <xr:revisionPtr revIDLastSave="0" documentId="8_{C10C62DF-1247-4B3F-B3F9-BB646117D139}" xr6:coauthVersionLast="47" xr6:coauthVersionMax="47" xr10:uidLastSave="{00000000-0000-0000-0000-000000000000}"/>
  <bookViews>
    <workbookView xWindow="-108" yWindow="-108" windowWidth="23256" windowHeight="12576" activeTab="2" xr2:uid="{06D969BB-FC9B-4B38-848C-277FDC72820B}"/>
  </bookViews>
  <sheets>
    <sheet name="bd_vendas" sheetId="2" r:id="rId1"/>
    <sheet name="tb_dn_bd" sheetId="4" r:id="rId2"/>
    <sheet name="Graficos" sheetId="5" r:id="rId3"/>
  </sheets>
  <definedNames>
    <definedName name="DadosExternos_1" localSheetId="0" hidden="1">bd_vendas!$A$1:$E$20</definedName>
    <definedName name="SegmentaçãodeDados_Ano">#N/A</definedName>
  </definedNames>
  <calcPr calcId="191029"/>
  <pivotCaches>
    <pivotCache cacheId="1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5C329F-D33A-4323-AD5A-ABEFF36B0A5D}" keepAlive="1" name="Consulta - bd_vendas" description="Conexão com a consulta 'bd_vendas' na pasta de trabalho." type="5" refreshedVersion="8" background="1" saveData="1">
    <dbPr connection="Provider=Microsoft.Mashup.OleDb.1;Data Source=$Workbook$;Location=bd_vendas;Extended Properties=&quot;&quot;" command="SELECT * FROM [bd_vendas]"/>
  </connection>
</connections>
</file>

<file path=xl/sharedStrings.xml><?xml version="1.0" encoding="utf-8"?>
<sst xmlns="http://schemas.openxmlformats.org/spreadsheetml/2006/main" count="85" uniqueCount="23">
  <si>
    <t>Unidade</t>
  </si>
  <si>
    <t>Supervisor</t>
  </si>
  <si>
    <t>Analista</t>
  </si>
  <si>
    <t>Ano</t>
  </si>
  <si>
    <t>Faturado</t>
  </si>
  <si>
    <t>CE</t>
  </si>
  <si>
    <t>Ana Maria</t>
  </si>
  <si>
    <t>Vanessa</t>
  </si>
  <si>
    <t>SP</t>
  </si>
  <si>
    <t>Jorge</t>
  </si>
  <si>
    <t>Pedro Renato</t>
  </si>
  <si>
    <t>Sara</t>
  </si>
  <si>
    <t>AM</t>
  </si>
  <si>
    <t>Luan</t>
  </si>
  <si>
    <t>RJ</t>
  </si>
  <si>
    <t>João</t>
  </si>
  <si>
    <t>MG</t>
  </si>
  <si>
    <t>Luciana</t>
  </si>
  <si>
    <t>BA</t>
  </si>
  <si>
    <t>Michele</t>
  </si>
  <si>
    <t>Rótulos de Linha</t>
  </si>
  <si>
    <t>Total Geral</t>
  </si>
  <si>
    <t>Soma de Faturado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</si>
</sst>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5" formatCode="&quot;R$&quot;\ #,##0.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2" borderId="0" xfId="0" applyFill="1"/>
    <xf numFmtId="165" fontId="0" fillId="0" borderId="0" xfId="0" pivotButton="1" applyNumberFormat="1"/>
    <xf numFmtId="165" fontId="0" fillId="0" borderId="0" xfId="0" applyNumberFormat="1"/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28"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4" formatCode="_-[$R$-416]\ * #,##0.00_-;\-[$R$-416]\ * #,##0.00_-;_-[$R$-416]\ * &quot;-&quot;??_-;_-@_-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[Darshboard Faturamento.xlsx]tb_dn_bd!Tabela dinâmica4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por Analista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tb_dn_bd!$H$3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tb_dn_bd!$G$4:$G$10</c:f>
              <c:strCache>
                <c:ptCount val="6"/>
                <c:pt idx="0">
                  <c:v>João</c:v>
                </c:pt>
                <c:pt idx="1">
                  <c:v>Jorge</c:v>
                </c:pt>
                <c:pt idx="2">
                  <c:v>Luan</c:v>
                </c:pt>
                <c:pt idx="3">
                  <c:v>Luciana</c:v>
                </c:pt>
                <c:pt idx="4">
                  <c:v>Sara</c:v>
                </c:pt>
                <c:pt idx="5">
                  <c:v>Vanessa</c:v>
                </c:pt>
              </c:strCache>
            </c:strRef>
          </c:cat>
          <c:val>
            <c:numRef>
              <c:f>tb_dn_bd!$H$4:$H$10</c:f>
              <c:numCache>
                <c:formatCode>"R$"\ #,##0.00</c:formatCode>
                <c:ptCount val="6"/>
                <c:pt idx="0">
                  <c:v>441200</c:v>
                </c:pt>
                <c:pt idx="1">
                  <c:v>334500</c:v>
                </c:pt>
                <c:pt idx="2">
                  <c:v>195200</c:v>
                </c:pt>
                <c:pt idx="3">
                  <c:v>266000</c:v>
                </c:pt>
                <c:pt idx="4">
                  <c:v>288900</c:v>
                </c:pt>
                <c:pt idx="5">
                  <c:v>297300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3-48CB-BE48-3698C8ECCF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3619024"/>
        <c:axId val="1543620944"/>
      </c:barChart>
      <c:catAx>
        <c:axId val="154361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3620944"/>
        <c:crosses val="autoZero"/>
        <c:auto val="1"/>
        <c:lblAlgn val="ctr"/>
        <c:lblOffset val="100"/>
        <c:noMultiLvlLbl val="0"/>
      </c:catAx>
      <c:valAx>
        <c:axId val="154362094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154361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[Darshboard Faturamento.xlsx]tb_dn_bd!Tabela dinâmica3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por Supervisor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tb_dn_bd!$E$3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5E-4F35-9276-3EC3214126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5E-4F35-9276-3EC32141262B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2D5E-4F35-9276-3EC32141262B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2D5E-4F35-9276-3EC3214126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tb_dn_bd!$D$4:$D$6</c:f>
              <c:strCache>
                <c:ptCount val="2"/>
                <c:pt idx="0">
                  <c:v>Ana Maria</c:v>
                </c:pt>
                <c:pt idx="1">
                  <c:v>Pedro Renato</c:v>
                </c:pt>
              </c:strCache>
            </c:strRef>
          </c:cat>
          <c:val>
            <c:numRef>
              <c:f>tb_dn_bd!$E$4:$E$6</c:f>
              <c:numCache>
                <c:formatCode>"R$"\ #,##0.00</c:formatCode>
                <c:ptCount val="2"/>
                <c:pt idx="0">
                  <c:v>1093000</c:v>
                </c:pt>
                <c:pt idx="1">
                  <c:v>730100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5E-4F35-9276-3EC321412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[Darshboard Faturamento.xlsx]tb_dn_bd!Tabela dinâmica2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por Unidade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tb_dn_bd!$B$3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tb_dn_bd!$A$4:$A$10</c:f>
              <c:strCache>
                <c:ptCount val="6"/>
                <c:pt idx="0">
                  <c:v>AM</c:v>
                </c:pt>
                <c:pt idx="1">
                  <c:v>BA</c:v>
                </c:pt>
                <c:pt idx="2">
                  <c:v>CE</c:v>
                </c:pt>
                <c:pt idx="3">
                  <c:v>MG</c:v>
                </c:pt>
                <c:pt idx="4">
                  <c:v>RJ</c:v>
                </c:pt>
                <c:pt idx="5">
                  <c:v>SP</c:v>
                </c:pt>
              </c:strCache>
            </c:strRef>
          </c:cat>
          <c:val>
            <c:numRef>
              <c:f>tb_dn_bd!$B$4:$B$10</c:f>
              <c:numCache>
                <c:formatCode>"R$"\ #,##0.00</c:formatCode>
                <c:ptCount val="6"/>
                <c:pt idx="0">
                  <c:v>109900</c:v>
                </c:pt>
                <c:pt idx="1">
                  <c:v>297300</c:v>
                </c:pt>
                <c:pt idx="2">
                  <c:v>195200</c:v>
                </c:pt>
                <c:pt idx="3">
                  <c:v>451600</c:v>
                </c:pt>
                <c:pt idx="4">
                  <c:v>441200</c:v>
                </c:pt>
                <c:pt idx="5">
                  <c:v>327900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DB-4471-951E-E9917AFF52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0327376"/>
        <c:axId val="450318256"/>
      </c:barChart>
      <c:catAx>
        <c:axId val="45032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0318256"/>
        <c:crosses val="autoZero"/>
        <c:auto val="1"/>
        <c:lblAlgn val="ctr"/>
        <c:lblOffset val="100"/>
        <c:noMultiLvlLbl val="0"/>
      </c:catAx>
      <c:valAx>
        <c:axId val="450318256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crossAx val="450327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186915</xdr:colOff>
      <xdr:row>4</xdr:row>
      <xdr:rowOff>16585</xdr:rowOff>
    </xdr:from>
    <xdr:to>
      <xdr:col>59</xdr:col>
      <xdr:colOff>143436</xdr:colOff>
      <xdr:row>34</xdr:row>
      <xdr:rowOff>62305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2CFF9EA5-D71D-E92D-E20D-3A0541CB3B82}"/>
            </a:ext>
          </a:extLst>
        </xdr:cNvPr>
        <xdr:cNvGrpSpPr/>
      </xdr:nvGrpSpPr>
      <xdr:grpSpPr>
        <a:xfrm>
          <a:off x="375174" y="733761"/>
          <a:ext cx="10875533" cy="5424544"/>
          <a:chOff x="384138" y="366208"/>
          <a:chExt cx="10875533" cy="5424544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2B005B02-DE15-400F-9518-AB454231ED1B}"/>
              </a:ext>
            </a:extLst>
          </xdr:cNvPr>
          <xdr:cNvGraphicFramePr>
            <a:graphicFrameLocks/>
          </xdr:cNvGraphicFramePr>
        </xdr:nvGraphicFramePr>
        <xdr:xfrm>
          <a:off x="384138" y="3101340"/>
          <a:ext cx="10867913" cy="26894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71285171-868A-4E57-9CDD-24C1A4A6753C}"/>
              </a:ext>
            </a:extLst>
          </xdr:cNvPr>
          <xdr:cNvGraphicFramePr>
            <a:graphicFrameLocks/>
          </xdr:cNvGraphicFramePr>
        </xdr:nvGraphicFramePr>
        <xdr:xfrm>
          <a:off x="5830645" y="366208"/>
          <a:ext cx="5429026" cy="26894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F5ADDEE3-8562-46AB-9A2B-B0411C37A788}"/>
              </a:ext>
            </a:extLst>
          </xdr:cNvPr>
          <xdr:cNvGraphicFramePr>
            <a:graphicFrameLocks/>
          </xdr:cNvGraphicFramePr>
        </xdr:nvGraphicFramePr>
        <xdr:xfrm>
          <a:off x="399378" y="366208"/>
          <a:ext cx="5370307" cy="26894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 editAs="oneCell">
    <xdr:from>
      <xdr:col>50</xdr:col>
      <xdr:colOff>44823</xdr:colOff>
      <xdr:row>1</xdr:row>
      <xdr:rowOff>53789</xdr:rowOff>
    </xdr:from>
    <xdr:to>
      <xdr:col>59</xdr:col>
      <xdr:colOff>159123</xdr:colOff>
      <xdr:row>3</xdr:row>
      <xdr:rowOff>125506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Ano">
              <a:extLst>
                <a:ext uri="{FF2B5EF4-FFF2-40B4-BE49-F238E27FC236}">
                  <a16:creationId xmlns:a16="http://schemas.microsoft.com/office/drawing/2014/main" id="{00922973-F3DE-4921-B6B0-0264A57F0B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57764" y="233083"/>
              <a:ext cx="1808630" cy="4303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oneCellAnchor>
    <xdr:from>
      <xdr:col>1</xdr:col>
      <xdr:colOff>107577</xdr:colOff>
      <xdr:row>0</xdr:row>
      <xdr:rowOff>162957</xdr:rowOff>
    </xdr:from>
    <xdr:ext cx="5235388" cy="1031564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57A4DA1A-719E-ACAE-519D-9EAFC69933FD}"/>
            </a:ext>
          </a:extLst>
        </xdr:cNvPr>
        <xdr:cNvSpPr txBox="1"/>
      </xdr:nvSpPr>
      <xdr:spPr>
        <a:xfrm>
          <a:off x="295836" y="162957"/>
          <a:ext cx="5235388" cy="10315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pt-BR" sz="2800" b="1">
              <a:solidFill>
                <a:schemeClr val="bg1"/>
              </a:solidFill>
            </a:rPr>
            <a:t>Darshboard </a:t>
          </a:r>
          <a:r>
            <a:rPr lang="pt-BR" sz="3200" b="1">
              <a:solidFill>
                <a:schemeClr val="bg1"/>
              </a:solidFill>
            </a:rPr>
            <a:t>de</a:t>
          </a:r>
          <a:r>
            <a:rPr lang="pt-BR" sz="2800" b="1">
              <a:solidFill>
                <a:schemeClr val="bg1"/>
              </a:solidFill>
            </a:rPr>
            <a:t> Faturamento</a:t>
          </a:r>
        </a:p>
        <a:p>
          <a:pPr algn="l"/>
          <a:endParaRPr lang="pt-BR" sz="2800" b="1">
            <a:solidFill>
              <a:schemeClr val="bg1"/>
            </a:solidFill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son_Lopes" refreshedDate="46033.791536458331" createdVersion="8" refreshedVersion="8" minRefreshableVersion="3" recordCount="19" xr:uid="{50348796-408A-40AE-A19B-A90C2208B613}">
  <cacheSource type="worksheet">
    <worksheetSource name="bd_vendas"/>
  </cacheSource>
  <cacheFields count="5">
    <cacheField name="Unidade" numFmtId="0">
      <sharedItems count="6">
        <s v="CE"/>
        <s v="SP"/>
        <s v="AM"/>
        <s v="RJ"/>
        <s v="MG"/>
        <s v="BA"/>
      </sharedItems>
    </cacheField>
    <cacheField name="Supervisor" numFmtId="0">
      <sharedItems count="2">
        <s v="Ana Maria"/>
        <s v="Pedro Renato"/>
      </sharedItems>
    </cacheField>
    <cacheField name="Analista" numFmtId="0">
      <sharedItems count="7">
        <s v="Vanessa"/>
        <s v="Jorge"/>
        <s v="Sara"/>
        <s v="Luan"/>
        <s v="João"/>
        <s v="Luciana"/>
        <s v="Michele"/>
      </sharedItems>
    </cacheField>
    <cacheField name="Ano" numFmtId="0">
      <sharedItems containsSemiMixedTypes="0" containsString="0" containsNumber="1" containsInteger="1" minValue="2024" maxValue="2025" count="2">
        <n v="2024"/>
        <n v="2025"/>
      </sharedItems>
    </cacheField>
    <cacheField name="Faturado" numFmtId="164">
      <sharedItems containsSemiMixedTypes="0" containsString="0" containsNumber="1" containsInteger="1" minValue="103300" maxValue="297300"/>
    </cacheField>
  </cacheFields>
  <extLst>
    <ext xmlns:x14="http://schemas.microsoft.com/office/spreadsheetml/2009/9/main" uri="{725AE2AE-9491-48be-B2B4-4EB974FC3084}">
      <x14:pivotCacheDefinition pivotCacheId="7278858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  <x v="0"/>
    <x v="0"/>
    <n v="259700"/>
  </r>
  <r>
    <x v="1"/>
    <x v="0"/>
    <x v="1"/>
    <x v="1"/>
    <n v="224600"/>
  </r>
  <r>
    <x v="1"/>
    <x v="1"/>
    <x v="2"/>
    <x v="1"/>
    <n v="103300"/>
  </r>
  <r>
    <x v="2"/>
    <x v="0"/>
    <x v="3"/>
    <x v="0"/>
    <n v="256400"/>
  </r>
  <r>
    <x v="3"/>
    <x v="1"/>
    <x v="4"/>
    <x v="1"/>
    <n v="255600"/>
  </r>
  <r>
    <x v="4"/>
    <x v="1"/>
    <x v="2"/>
    <x v="0"/>
    <n v="198100"/>
  </r>
  <r>
    <x v="0"/>
    <x v="0"/>
    <x v="5"/>
    <x v="0"/>
    <n v="209900"/>
  </r>
  <r>
    <x v="5"/>
    <x v="0"/>
    <x v="0"/>
    <x v="1"/>
    <n v="297300"/>
  </r>
  <r>
    <x v="0"/>
    <x v="0"/>
    <x v="6"/>
    <x v="0"/>
    <n v="215500"/>
  </r>
  <r>
    <x v="2"/>
    <x v="0"/>
    <x v="1"/>
    <x v="1"/>
    <n v="109900"/>
  </r>
  <r>
    <x v="4"/>
    <x v="0"/>
    <x v="5"/>
    <x v="1"/>
    <n v="149400"/>
  </r>
  <r>
    <x v="3"/>
    <x v="1"/>
    <x v="2"/>
    <x v="0"/>
    <n v="146300"/>
  </r>
  <r>
    <x v="2"/>
    <x v="0"/>
    <x v="5"/>
    <x v="0"/>
    <n v="271700"/>
  </r>
  <r>
    <x v="3"/>
    <x v="1"/>
    <x v="2"/>
    <x v="1"/>
    <n v="185600"/>
  </r>
  <r>
    <x v="4"/>
    <x v="0"/>
    <x v="5"/>
    <x v="1"/>
    <n v="116600"/>
  </r>
  <r>
    <x v="4"/>
    <x v="1"/>
    <x v="2"/>
    <x v="0"/>
    <n v="247700"/>
  </r>
  <r>
    <x v="1"/>
    <x v="0"/>
    <x v="3"/>
    <x v="0"/>
    <n v="178400"/>
  </r>
  <r>
    <x v="4"/>
    <x v="1"/>
    <x v="4"/>
    <x v="1"/>
    <n v="185600"/>
  </r>
  <r>
    <x v="0"/>
    <x v="0"/>
    <x v="3"/>
    <x v="1"/>
    <n v="195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4EF81-C8FA-44FA-8617-A27F792CFEBC}" name="Tabela dinâmica4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G3:H10" firstHeaderRow="1" firstDataRow="1" firstDataCol="1"/>
  <pivotFields count="5">
    <pivotField showAll="0">
      <items count="7">
        <item x="2"/>
        <item x="5"/>
        <item x="0"/>
        <item x="4"/>
        <item x="3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8">
        <item x="4"/>
        <item x="1"/>
        <item x="3"/>
        <item x="5"/>
        <item x="6"/>
        <item x="2"/>
        <item x="0"/>
        <item t="default"/>
      </items>
    </pivotField>
    <pivotField showAll="0">
      <items count="3">
        <item h="1" x="0"/>
        <item x="1"/>
        <item t="default"/>
      </items>
    </pivotField>
    <pivotField dataField="1" numFmtId="164" showAll="0"/>
  </pivotFields>
  <rowFields count="1">
    <field x="2"/>
  </rowFields>
  <rowItems count="7">
    <i>
      <x/>
    </i>
    <i>
      <x v="1"/>
    </i>
    <i>
      <x v="2"/>
    </i>
    <i>
      <x v="3"/>
    </i>
    <i>
      <x v="5"/>
    </i>
    <i>
      <x v="6"/>
    </i>
    <i t="grand">
      <x/>
    </i>
  </rowItems>
  <colItems count="1">
    <i/>
  </colItems>
  <dataFields count="1">
    <dataField name="Soma de Faturado" fld="4" baseField="0" baseItem="0" numFmtId="165"/>
  </dataFields>
  <formats count="6">
    <format dxfId="7">
      <pivotArea type="all" dataOnly="0" outline="0" fieldPosition="0"/>
    </format>
    <format dxfId="5">
      <pivotArea outline="0" collapsedLevelsAreSubtotals="1" fieldPosition="0"/>
    </format>
    <format dxfId="4">
      <pivotArea field="2" type="button" dataOnly="0" labelOnly="1" outline="0" axis="axisRow" fieldPosition="0"/>
    </format>
    <format dxfId="3">
      <pivotArea dataOnly="0" labelOnly="1" fieldPosition="0">
        <references count="1">
          <reference field="2" count="6">
            <x v="0"/>
            <x v="1"/>
            <x v="2"/>
            <x v="3"/>
            <x v="5"/>
            <x v="6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C5504D-EC95-4182-B5D9-4442D2E38BAE}" name="Tabela dinâ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D3:E6" firstHeaderRow="1" firstDataRow="1" firstDataCol="1"/>
  <pivotFields count="5">
    <pivotField showAll="0">
      <items count="7">
        <item x="2"/>
        <item x="5"/>
        <item x="0"/>
        <item x="4"/>
        <item x="3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>
      <items count="3">
        <item h="1" x="0"/>
        <item x="1"/>
        <item t="default"/>
      </items>
    </pivotField>
    <pivotField dataField="1" numFmtId="164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oma de Faturado" fld="4" baseField="0" baseItem="0" numFmtId="165"/>
  </dataFields>
  <formats count="6">
    <format dxfId="15">
      <pivotArea type="all" dataOnly="0" outline="0" fieldPosition="0"/>
    </format>
    <format dxfId="13">
      <pivotArea outline="0" collapsedLevelsAreSubtotals="1" fieldPosition="0"/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</format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63C311-0AC9-4E20-96B9-969D1915FE41}" name="Tabela dinâ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3:B10" firstHeaderRow="1" firstDataRow="1" firstDataCol="1"/>
  <pivotFields count="5">
    <pivotField axis="axisRow" showAll="0">
      <items count="7">
        <item x="2"/>
        <item x="5"/>
        <item x="0"/>
        <item x="4"/>
        <item x="3"/>
        <item x="1"/>
        <item t="default"/>
      </items>
    </pivotField>
    <pivotField showAll="0"/>
    <pivotField showAll="0"/>
    <pivotField showAll="0">
      <items count="3">
        <item h="1" x="0"/>
        <item x="1"/>
        <item t="default"/>
      </items>
    </pivotField>
    <pivotField dataField="1" numFmtId="164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Faturado" fld="4" baseField="0" baseItem="0" numFmtId="165"/>
  </dataFields>
  <formats count="6">
    <format dxfId="23">
      <pivotArea type="all" dataOnly="0" outline="0" fieldPosition="0"/>
    </format>
    <format dxfId="21">
      <pivotArea outline="0" collapsedLevelsAreSubtotals="1" fieldPosition="0"/>
    </format>
    <format dxfId="20">
      <pivotArea field="0" type="button" dataOnly="0" labelOnly="1" outline="0" axis="axisRow" fieldPosition="0"/>
    </format>
    <format dxfId="19">
      <pivotArea dataOnly="0" labelOnly="1" fieldPosition="0">
        <references count="1">
          <reference field="0" count="0"/>
        </references>
      </pivotArea>
    </format>
    <format dxfId="18">
      <pivotArea dataOnly="0" labelOnly="1" grandRow="1" outline="0" fieldPosition="0"/>
    </format>
    <format dxfId="17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7BFAA60-06E0-4260-B6F3-8DD3997FB0E0}" autoFormatId="16" applyNumberFormats="0" applyBorderFormats="0" applyFontFormats="0" applyPatternFormats="0" applyAlignmentFormats="0" applyWidthHeightFormats="0">
  <queryTableRefresh nextId="6">
    <queryTableFields count="5">
      <queryTableField id="1" name="Unidade" tableColumnId="1"/>
      <queryTableField id="2" name="Supervisor" tableColumnId="2"/>
      <queryTableField id="3" name="Analista" tableColumnId="3"/>
      <queryTableField id="4" name="Ano" tableColumnId="4"/>
      <queryTableField id="5" name="Faturado" tableColumnId="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8C7C10AC-1FE5-4318-8B57-ED8BAB394120}" sourceName="Ano">
  <pivotTables>
    <pivotTable tabId="4" name="Tabela dinâmica2"/>
    <pivotTable tabId="4" name="Tabela dinâmica3"/>
    <pivotTable tabId="4" name="Tabela dinâmica4"/>
  </pivotTables>
  <data>
    <tabular pivotCacheId="727885813">
      <items count="2">
        <i x="0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507161B9-BE57-4737-93EA-3587380DAF69}" cache="SegmentaçãodeDados_Ano" caption="Ano" columnCount="2" showCaption="0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27DDBC-6513-4312-8DD9-CDC2C9C5B9AD}" name="bd_vendas" displayName="bd_vendas" ref="A1:E20" tableType="queryTable" totalsRowShown="0">
  <autoFilter ref="A1:E20" xr:uid="{7C27DDBC-6513-4312-8DD9-CDC2C9C5B9AD}"/>
  <tableColumns count="5">
    <tableColumn id="1" xr3:uid="{356967A2-6242-4F71-8A36-CCFC937A3695}" uniqueName="1" name="Unidade" queryTableFieldId="1" dataDxfId="27"/>
    <tableColumn id="2" xr3:uid="{C32212DF-1203-40FA-8A83-A46344A3C7A5}" uniqueName="2" name="Supervisor" queryTableFieldId="2" dataDxfId="26"/>
    <tableColumn id="3" xr3:uid="{234E837C-C085-4B51-9429-0EDFFF9C56C9}" uniqueName="3" name="Analista" queryTableFieldId="3" dataDxfId="25"/>
    <tableColumn id="4" xr3:uid="{155AA56B-ADE7-4658-B2CD-E3EF1FE65C20}" uniqueName="4" name="Ano" queryTableFieldId="4"/>
    <tableColumn id="5" xr3:uid="{D8772385-A4C6-490D-A091-AB06AFC3B3BA}" uniqueName="5" name="Faturado" queryTableFieldId="5" dataDxf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02445-A364-4A7A-ADFB-9198DD29E3F7}">
  <dimension ref="A1:E20"/>
  <sheetViews>
    <sheetView workbookViewId="0">
      <selection sqref="A1:E20"/>
    </sheetView>
  </sheetViews>
  <sheetFormatPr defaultRowHeight="14.4" x14ac:dyDescent="0.3"/>
  <cols>
    <col min="1" max="1" width="10.21875" bestFit="1" customWidth="1"/>
    <col min="2" max="2" width="12.109375" bestFit="1" customWidth="1"/>
    <col min="3" max="3" width="10" bestFit="1" customWidth="1"/>
    <col min="4" max="4" width="6.33203125" bestFit="1" customWidth="1"/>
    <col min="5" max="5" width="14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>
        <v>2024</v>
      </c>
      <c r="E2" s="2">
        <v>259700</v>
      </c>
    </row>
    <row r="3" spans="1:5" x14ac:dyDescent="0.3">
      <c r="A3" s="1" t="s">
        <v>8</v>
      </c>
      <c r="B3" s="1" t="s">
        <v>6</v>
      </c>
      <c r="C3" s="1" t="s">
        <v>9</v>
      </c>
      <c r="D3">
        <v>2025</v>
      </c>
      <c r="E3" s="2">
        <v>224600</v>
      </c>
    </row>
    <row r="4" spans="1:5" x14ac:dyDescent="0.3">
      <c r="A4" s="1" t="s">
        <v>8</v>
      </c>
      <c r="B4" s="1" t="s">
        <v>10</v>
      </c>
      <c r="C4" s="1" t="s">
        <v>11</v>
      </c>
      <c r="D4">
        <v>2025</v>
      </c>
      <c r="E4" s="2">
        <v>103300</v>
      </c>
    </row>
    <row r="5" spans="1:5" x14ac:dyDescent="0.3">
      <c r="A5" s="1" t="s">
        <v>12</v>
      </c>
      <c r="B5" s="1" t="s">
        <v>6</v>
      </c>
      <c r="C5" s="1" t="s">
        <v>13</v>
      </c>
      <c r="D5">
        <v>2024</v>
      </c>
      <c r="E5" s="2">
        <v>256400</v>
      </c>
    </row>
    <row r="6" spans="1:5" x14ac:dyDescent="0.3">
      <c r="A6" s="1" t="s">
        <v>14</v>
      </c>
      <c r="B6" s="1" t="s">
        <v>10</v>
      </c>
      <c r="C6" s="1" t="s">
        <v>15</v>
      </c>
      <c r="D6">
        <v>2025</v>
      </c>
      <c r="E6" s="2">
        <v>255600</v>
      </c>
    </row>
    <row r="7" spans="1:5" x14ac:dyDescent="0.3">
      <c r="A7" s="1" t="s">
        <v>16</v>
      </c>
      <c r="B7" s="1" t="s">
        <v>10</v>
      </c>
      <c r="C7" s="1" t="s">
        <v>11</v>
      </c>
      <c r="D7">
        <v>2024</v>
      </c>
      <c r="E7" s="2">
        <v>198100</v>
      </c>
    </row>
    <row r="8" spans="1:5" x14ac:dyDescent="0.3">
      <c r="A8" s="1" t="s">
        <v>5</v>
      </c>
      <c r="B8" s="1" t="s">
        <v>6</v>
      </c>
      <c r="C8" s="1" t="s">
        <v>17</v>
      </c>
      <c r="D8">
        <v>2024</v>
      </c>
      <c r="E8" s="2">
        <v>209900</v>
      </c>
    </row>
    <row r="9" spans="1:5" x14ac:dyDescent="0.3">
      <c r="A9" s="1" t="s">
        <v>18</v>
      </c>
      <c r="B9" s="1" t="s">
        <v>6</v>
      </c>
      <c r="C9" s="1" t="s">
        <v>7</v>
      </c>
      <c r="D9">
        <v>2025</v>
      </c>
      <c r="E9" s="2">
        <v>297300</v>
      </c>
    </row>
    <row r="10" spans="1:5" x14ac:dyDescent="0.3">
      <c r="A10" s="1" t="s">
        <v>5</v>
      </c>
      <c r="B10" s="1" t="s">
        <v>6</v>
      </c>
      <c r="C10" s="1" t="s">
        <v>19</v>
      </c>
      <c r="D10">
        <v>2024</v>
      </c>
      <c r="E10" s="2">
        <v>215500</v>
      </c>
    </row>
    <row r="11" spans="1:5" x14ac:dyDescent="0.3">
      <c r="A11" s="1" t="s">
        <v>12</v>
      </c>
      <c r="B11" s="1" t="s">
        <v>6</v>
      </c>
      <c r="C11" s="1" t="s">
        <v>9</v>
      </c>
      <c r="D11">
        <v>2025</v>
      </c>
      <c r="E11" s="2">
        <v>109900</v>
      </c>
    </row>
    <row r="12" spans="1:5" x14ac:dyDescent="0.3">
      <c r="A12" s="1" t="s">
        <v>16</v>
      </c>
      <c r="B12" s="1" t="s">
        <v>6</v>
      </c>
      <c r="C12" s="1" t="s">
        <v>17</v>
      </c>
      <c r="D12">
        <v>2025</v>
      </c>
      <c r="E12" s="2">
        <v>149400</v>
      </c>
    </row>
    <row r="13" spans="1:5" x14ac:dyDescent="0.3">
      <c r="A13" s="1" t="s">
        <v>14</v>
      </c>
      <c r="B13" s="1" t="s">
        <v>10</v>
      </c>
      <c r="C13" s="1" t="s">
        <v>11</v>
      </c>
      <c r="D13">
        <v>2024</v>
      </c>
      <c r="E13" s="2">
        <v>146300</v>
      </c>
    </row>
    <row r="14" spans="1:5" x14ac:dyDescent="0.3">
      <c r="A14" s="1" t="s">
        <v>12</v>
      </c>
      <c r="B14" s="1" t="s">
        <v>6</v>
      </c>
      <c r="C14" s="1" t="s">
        <v>17</v>
      </c>
      <c r="D14">
        <v>2024</v>
      </c>
      <c r="E14" s="2">
        <v>271700</v>
      </c>
    </row>
    <row r="15" spans="1:5" x14ac:dyDescent="0.3">
      <c r="A15" s="1" t="s">
        <v>14</v>
      </c>
      <c r="B15" s="1" t="s">
        <v>10</v>
      </c>
      <c r="C15" s="1" t="s">
        <v>11</v>
      </c>
      <c r="D15">
        <v>2025</v>
      </c>
      <c r="E15" s="2">
        <v>185600</v>
      </c>
    </row>
    <row r="16" spans="1:5" x14ac:dyDescent="0.3">
      <c r="A16" s="1" t="s">
        <v>16</v>
      </c>
      <c r="B16" s="1" t="s">
        <v>6</v>
      </c>
      <c r="C16" s="1" t="s">
        <v>17</v>
      </c>
      <c r="D16">
        <v>2025</v>
      </c>
      <c r="E16" s="2">
        <v>116600</v>
      </c>
    </row>
    <row r="17" spans="1:5" x14ac:dyDescent="0.3">
      <c r="A17" s="1" t="s">
        <v>16</v>
      </c>
      <c r="B17" s="1" t="s">
        <v>10</v>
      </c>
      <c r="C17" s="1" t="s">
        <v>11</v>
      </c>
      <c r="D17">
        <v>2024</v>
      </c>
      <c r="E17" s="2">
        <v>247700</v>
      </c>
    </row>
    <row r="18" spans="1:5" x14ac:dyDescent="0.3">
      <c r="A18" s="1" t="s">
        <v>8</v>
      </c>
      <c r="B18" s="1" t="s">
        <v>6</v>
      </c>
      <c r="C18" s="1" t="s">
        <v>13</v>
      </c>
      <c r="D18">
        <v>2024</v>
      </c>
      <c r="E18" s="2">
        <v>178400</v>
      </c>
    </row>
    <row r="19" spans="1:5" x14ac:dyDescent="0.3">
      <c r="A19" s="1" t="s">
        <v>16</v>
      </c>
      <c r="B19" s="1" t="s">
        <v>10</v>
      </c>
      <c r="C19" s="1" t="s">
        <v>15</v>
      </c>
      <c r="D19">
        <v>2025</v>
      </c>
      <c r="E19" s="2">
        <v>185600</v>
      </c>
    </row>
    <row r="20" spans="1:5" x14ac:dyDescent="0.3">
      <c r="A20" s="1" t="s">
        <v>5</v>
      </c>
      <c r="B20" s="1" t="s">
        <v>6</v>
      </c>
      <c r="C20" s="1" t="s">
        <v>13</v>
      </c>
      <c r="D20">
        <v>2025</v>
      </c>
      <c r="E20" s="2">
        <v>195200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C1625-C2C3-4D3E-AE1C-62B141B13AFD}">
  <dimension ref="A3:H10"/>
  <sheetViews>
    <sheetView workbookViewId="0">
      <selection activeCell="G3" sqref="G3:H10"/>
    </sheetView>
  </sheetViews>
  <sheetFormatPr defaultRowHeight="14.4" x14ac:dyDescent="0.3"/>
  <cols>
    <col min="1" max="1" width="16.77734375" bestFit="1" customWidth="1"/>
    <col min="2" max="2" width="16.109375" bestFit="1" customWidth="1"/>
    <col min="4" max="4" width="16.77734375" bestFit="1" customWidth="1"/>
    <col min="5" max="5" width="16.109375" bestFit="1" customWidth="1"/>
    <col min="7" max="7" width="16.77734375" bestFit="1" customWidth="1"/>
    <col min="8" max="8" width="16.109375" bestFit="1" customWidth="1"/>
  </cols>
  <sheetData>
    <row r="3" spans="1:8" x14ac:dyDescent="0.3">
      <c r="A3" s="4" t="s">
        <v>20</v>
      </c>
      <c r="B3" s="5" t="s">
        <v>22</v>
      </c>
      <c r="D3" s="4" t="s">
        <v>20</v>
      </c>
      <c r="E3" s="5" t="s">
        <v>22</v>
      </c>
      <c r="G3" s="4" t="s">
        <v>20</v>
      </c>
      <c r="H3" s="5" t="s">
        <v>22</v>
      </c>
    </row>
    <row r="4" spans="1:8" x14ac:dyDescent="0.3">
      <c r="A4" s="6" t="s">
        <v>12</v>
      </c>
      <c r="B4" s="5">
        <v>109900</v>
      </c>
      <c r="D4" s="6" t="s">
        <v>6</v>
      </c>
      <c r="E4" s="5">
        <v>1093000</v>
      </c>
      <c r="G4" s="6" t="s">
        <v>15</v>
      </c>
      <c r="H4" s="5">
        <v>441200</v>
      </c>
    </row>
    <row r="5" spans="1:8" x14ac:dyDescent="0.3">
      <c r="A5" s="6" t="s">
        <v>18</v>
      </c>
      <c r="B5" s="5">
        <v>297300</v>
      </c>
      <c r="D5" s="6" t="s">
        <v>10</v>
      </c>
      <c r="E5" s="5">
        <v>730100</v>
      </c>
      <c r="G5" s="6" t="s">
        <v>9</v>
      </c>
      <c r="H5" s="5">
        <v>334500</v>
      </c>
    </row>
    <row r="6" spans="1:8" x14ac:dyDescent="0.3">
      <c r="A6" s="6" t="s">
        <v>5</v>
      </c>
      <c r="B6" s="5">
        <v>195200</v>
      </c>
      <c r="D6" s="6" t="s">
        <v>21</v>
      </c>
      <c r="E6" s="5">
        <v>1823100</v>
      </c>
      <c r="G6" s="6" t="s">
        <v>13</v>
      </c>
      <c r="H6" s="5">
        <v>195200</v>
      </c>
    </row>
    <row r="7" spans="1:8" x14ac:dyDescent="0.3">
      <c r="A7" s="6" t="s">
        <v>16</v>
      </c>
      <c r="B7" s="5">
        <v>451600</v>
      </c>
      <c r="G7" s="6" t="s">
        <v>17</v>
      </c>
      <c r="H7" s="5">
        <v>266000</v>
      </c>
    </row>
    <row r="8" spans="1:8" x14ac:dyDescent="0.3">
      <c r="A8" s="6" t="s">
        <v>14</v>
      </c>
      <c r="B8" s="5">
        <v>441200</v>
      </c>
      <c r="G8" s="6" t="s">
        <v>11</v>
      </c>
      <c r="H8" s="5">
        <v>288900</v>
      </c>
    </row>
    <row r="9" spans="1:8" x14ac:dyDescent="0.3">
      <c r="A9" s="6" t="s">
        <v>8</v>
      </c>
      <c r="B9" s="5">
        <v>327900</v>
      </c>
      <c r="G9" s="6" t="s">
        <v>7</v>
      </c>
      <c r="H9" s="5">
        <v>297300</v>
      </c>
    </row>
    <row r="10" spans="1:8" x14ac:dyDescent="0.3">
      <c r="A10" s="6" t="s">
        <v>21</v>
      </c>
      <c r="B10" s="5">
        <v>1823100</v>
      </c>
      <c r="G10" s="6" t="s">
        <v>21</v>
      </c>
      <c r="H10" s="5">
        <v>1823100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59F44-99D3-4D11-9B4C-FF9C5DC6E9D6}">
  <dimension ref="A1"/>
  <sheetViews>
    <sheetView tabSelected="1" zoomScale="85" zoomScaleNormal="85" workbookViewId="0">
      <selection activeCell="BR21" sqref="BR21"/>
    </sheetView>
  </sheetViews>
  <sheetFormatPr defaultColWidth="2.77734375" defaultRowHeight="14.4" x14ac:dyDescent="0.3"/>
  <cols>
    <col min="1" max="16384" width="2.77734375" style="3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54618C-85EE-4076-9F38-CD7869B266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bd_vendas</vt:lpstr>
      <vt:lpstr>tb_dn_bd</vt:lpstr>
      <vt:lpstr>Graficos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Oliveira</dc:creator>
  <cp:lastModifiedBy>Robson Oliveira</cp:lastModifiedBy>
  <dcterms:created xsi:type="dcterms:W3CDTF">2026-01-11T21:55:50Z</dcterms:created>
  <dcterms:modified xsi:type="dcterms:W3CDTF">2026-01-11T22:29:00Z</dcterms:modified>
</cp:coreProperties>
</file>